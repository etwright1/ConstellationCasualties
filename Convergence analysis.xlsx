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n/Documents/Research/Reentries/Megaconstellation reentries/Code/Starlink casualty risk/Scripts/"/>
    </mc:Choice>
  </mc:AlternateContent>
  <xr:revisionPtr revIDLastSave="0" documentId="13_ncr:1_{1EAA61B6-5207-CF44-899E-E93EBFB4EEFD}" xr6:coauthVersionLast="47" xr6:coauthVersionMax="47" xr10:uidLastSave="{00000000-0000-0000-0000-000000000000}"/>
  <bookViews>
    <workbookView xWindow="13360" yWindow="820" windowWidth="15820" windowHeight="18820" activeTab="1" xr2:uid="{6AEA67C4-A194-A44F-8637-43901D62A9DD}"/>
  </bookViews>
  <sheets>
    <sheet name="Sheet1" sheetId="1" r:id="rId1"/>
    <sheet name="Sheet2" sheetId="2" r:id="rId2"/>
  </sheets>
  <definedNames>
    <definedName name="_xlnm._FilterDatabase" localSheetId="0" hidden="1">Sheet1!$A$1:$D$11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10" i="2" s="1"/>
  <c r="D6" i="1"/>
  <c r="D5" i="1"/>
  <c r="D2" i="1"/>
  <c r="D4" i="1"/>
  <c r="D3" i="1"/>
  <c r="D7" i="1"/>
</calcChain>
</file>

<file path=xl/sharedStrings.xml><?xml version="1.0" encoding="utf-8"?>
<sst xmlns="http://schemas.openxmlformats.org/spreadsheetml/2006/main" count="19" uniqueCount="18">
  <si>
    <t>Satellites modelled</t>
  </si>
  <si>
    <t>Multiplier</t>
  </si>
  <si>
    <t>Total (check)</t>
  </si>
  <si>
    <t>Satellites inputted</t>
  </si>
  <si>
    <t>2030 casualty expectation</t>
  </si>
  <si>
    <t>Titanium density</t>
  </si>
  <si>
    <t>g / cm3</t>
  </si>
  <si>
    <t>Sphere diameter</t>
  </si>
  <si>
    <t>cm</t>
  </si>
  <si>
    <t>Sphere volume</t>
  </si>
  <si>
    <t>cm^3</t>
  </si>
  <si>
    <t>Sphere mass</t>
  </si>
  <si>
    <t>g</t>
  </si>
  <si>
    <t>m/s</t>
  </si>
  <si>
    <t xml:space="preserve">Approximate terminal velocity </t>
  </si>
  <si>
    <t>kg</t>
  </si>
  <si>
    <t>Kinetic energy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</si>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</sst>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535E-7389-DA40-A632-26997C895E4E}">
  <dimension ref="A1:E7"/>
  <sheetViews>
    <sheetView workbookViewId="0">
      <selection activeCell="E16" sqref="E16"/>
    </sheetView>
  </sheetViews>
  <sheetFormatPr baseColWidth="10" defaultRowHeight="16" x14ac:dyDescent="0.2"/>
  <cols>
    <col min="1" max="1" width="15.6640625" customWidth="1"/>
    <col min="2" max="2" width="20" customWidth="1"/>
    <col min="4" max="4" width="14.5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A2">
        <v>6</v>
      </c>
      <c r="B2">
        <v>3</v>
      </c>
      <c r="C2">
        <v>10000</v>
      </c>
      <c r="D2">
        <f>B2*C2</f>
        <v>30000</v>
      </c>
      <c r="E2">
        <v>0.24</v>
      </c>
    </row>
    <row r="3" spans="1:5" x14ac:dyDescent="0.2">
      <c r="A3">
        <v>35</v>
      </c>
      <c r="B3">
        <v>31</v>
      </c>
      <c r="C3">
        <v>1000</v>
      </c>
      <c r="D3">
        <f>B3*C3</f>
        <v>31000</v>
      </c>
      <c r="E3">
        <v>0.23</v>
      </c>
    </row>
    <row r="4" spans="1:5" x14ac:dyDescent="0.2">
      <c r="A4">
        <v>304</v>
      </c>
      <c r="B4">
        <v>301</v>
      </c>
      <c r="C4">
        <v>100</v>
      </c>
      <c r="D4">
        <f>B4*C4</f>
        <v>30100</v>
      </c>
      <c r="E4">
        <v>0.22</v>
      </c>
    </row>
    <row r="5" spans="1:5" x14ac:dyDescent="0.2">
      <c r="A5">
        <v>603</v>
      </c>
      <c r="B5">
        <v>600</v>
      </c>
      <c r="C5">
        <v>50</v>
      </c>
      <c r="D5">
        <f>B5*C5</f>
        <v>30000</v>
      </c>
      <c r="E5">
        <v>0.22</v>
      </c>
    </row>
    <row r="6" spans="1:5" x14ac:dyDescent="0.2">
      <c r="A6">
        <v>1502</v>
      </c>
      <c r="B6">
        <v>1499</v>
      </c>
      <c r="C6">
        <v>20</v>
      </c>
      <c r="D6">
        <f>B6*C6</f>
        <v>29980</v>
      </c>
      <c r="E6">
        <v>0.22</v>
      </c>
    </row>
    <row r="7" spans="1:5" x14ac:dyDescent="0.2">
      <c r="A7">
        <v>3000</v>
      </c>
      <c r="B7">
        <v>3000</v>
      </c>
      <c r="C7">
        <v>10</v>
      </c>
      <c r="D7">
        <f>B7*C7</f>
        <v>30000</v>
      </c>
      <c r="E7">
        <v>0.22</v>
      </c>
    </row>
  </sheetData>
  <autoFilter ref="A1:D11" xr:uid="{42AC535E-7389-DA40-A632-26997C895E4E}">
    <sortState xmlns:xlrd2="http://schemas.microsoft.com/office/spreadsheetml/2017/richdata2" ref="A2:D11">
      <sortCondition ref="A1:A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6976-D6C6-6043-A9D3-51A2E73E5A67}">
  <dimension ref="A2:C10"/>
  <sheetViews>
    <sheetView tabSelected="1" workbookViewId="0">
      <selection activeCell="F22" sqref="F22"/>
    </sheetView>
  </sheetViews>
  <sheetFormatPr baseColWidth="10" defaultRowHeight="16" x14ac:dyDescent="0.2"/>
  <cols>
    <col min="1" max="1" width="16.6640625" customWidth="1"/>
  </cols>
  <sheetData>
    <row r="2" spans="1:3" x14ac:dyDescent="0.2">
      <c r="A2" t="s">
        <v>5</v>
      </c>
      <c r="B2" s="1">
        <v>4.5060000000000002</v>
      </c>
      <c r="C2" t="s">
        <v>6</v>
      </c>
    </row>
    <row r="3" spans="1:3" x14ac:dyDescent="0.2">
      <c r="A3" t="s">
        <v>7</v>
      </c>
      <c r="B3" s="1">
        <v>1.5</v>
      </c>
      <c r="C3" t="s">
        <v>8</v>
      </c>
    </row>
    <row r="4" spans="1:3" x14ac:dyDescent="0.2">
      <c r="A4" t="s">
        <v>9</v>
      </c>
      <c r="B4" s="1">
        <f>4/3 * PI() * B3^3</f>
        <v>14.137166941154067</v>
      </c>
      <c r="C4" t="s">
        <v>10</v>
      </c>
    </row>
    <row r="5" spans="1:3" x14ac:dyDescent="0.2">
      <c r="A5" t="s">
        <v>11</v>
      </c>
      <c r="B5" s="1">
        <f>B4*B2</f>
        <v>63.702074236840232</v>
      </c>
      <c r="C5" t="s">
        <v>12</v>
      </c>
    </row>
    <row r="6" spans="1:3" x14ac:dyDescent="0.2">
      <c r="A6" t="s">
        <v>11</v>
      </c>
      <c r="B6" s="1">
        <f>B5/1000</f>
        <v>6.3702074236840239E-2</v>
      </c>
      <c r="C6" t="s">
        <v>15</v>
      </c>
    </row>
    <row r="7" spans="1:3" x14ac:dyDescent="0.2">
      <c r="B7" s="1"/>
    </row>
    <row r="8" spans="1:3" x14ac:dyDescent="0.2">
      <c r="A8" t="s">
        <v>14</v>
      </c>
      <c r="B8" s="1">
        <v>32</v>
      </c>
      <c r="C8" t="s">
        <v>13</v>
      </c>
    </row>
    <row r="9" spans="1:3" x14ac:dyDescent="0.2">
      <c r="B9" s="1"/>
    </row>
    <row r="10" spans="1:3" x14ac:dyDescent="0.2">
      <c r="A10" t="s">
        <v>16</v>
      </c>
      <c r="B10" s="1">
        <f>0.5 * B6*B8^2</f>
        <v>32.615462009262203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etwright@student.ubc.ca</dc:creator>
  <cp:lastModifiedBy>etwright@student.ubc.ca</cp:lastModifiedBy>
  <dcterms:created xsi:type="dcterms:W3CDTF">2024-02-20T22:30:27Z</dcterms:created>
  <dcterms:modified xsi:type="dcterms:W3CDTF">2024-02-22T23:28:13Z</dcterms:modified>
</cp:coreProperties>
</file>